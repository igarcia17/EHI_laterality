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EHI_laterality\data_search\"/>
    </mc:Choice>
  </mc:AlternateContent>
  <xr:revisionPtr revIDLastSave="0" documentId="13_ncr:1_{AF0B0BD1-92CD-4B79-A44E-1E040FCB6E1D}" xr6:coauthVersionLast="47" xr6:coauthVersionMax="47" xr10:uidLastSave="{00000000-0000-0000-0000-000000000000}"/>
  <bookViews>
    <workbookView xWindow="14355" yWindow="-16200" windowWidth="14610" windowHeight="15585" activeTab="2" xr2:uid="{3C045406-ED02-4432-81B3-60789A78A5E3}"/>
  </bookViews>
  <sheets>
    <sheet name="ALSPAC variable catalogue" sheetId="1" r:id="rId1"/>
    <sheet name="TwinsUK phenotypes" sheetId="2" r:id="rId2"/>
    <sheet name="NSH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3" l="1"/>
  <c r="L2" i="3"/>
  <c r="J2" i="3"/>
  <c r="J3" i="3"/>
  <c r="J4" i="3"/>
  <c r="J5" i="3"/>
  <c r="J6" i="3"/>
  <c r="J7" i="3"/>
  <c r="J8" i="3"/>
  <c r="I3" i="3"/>
  <c r="I4" i="3"/>
  <c r="I5" i="3"/>
  <c r="I6" i="3"/>
  <c r="I7" i="3"/>
  <c r="I8" i="3"/>
  <c r="I2" i="3"/>
  <c r="H3" i="3"/>
  <c r="H4" i="3"/>
  <c r="H5" i="3"/>
  <c r="H6" i="3"/>
  <c r="H7" i="3"/>
  <c r="H8" i="3"/>
  <c r="H2" i="3"/>
</calcChain>
</file>

<file path=xl/sharedStrings.xml><?xml version="1.0" encoding="utf-8"?>
<sst xmlns="http://schemas.openxmlformats.org/spreadsheetml/2006/main" count="641" uniqueCount="333">
  <si>
    <t>G1 clinic variable names.xlsx</t>
  </si>
  <si>
    <t>F10</t>
  </si>
  <si>
    <t>fdsm125</t>
  </si>
  <si>
    <t>Sorting matches task preferred hand: F10</t>
  </si>
  <si>
    <t>TF1</t>
  </si>
  <si>
    <t>ff2675</t>
  </si>
  <si>
    <t>A18: Throwing at target, favoured hand: activity: TF1</t>
  </si>
  <si>
    <t>F11</t>
  </si>
  <si>
    <t>fegs105</t>
  </si>
  <si>
    <t>Grip strength Right hand Mean: F11</t>
  </si>
  <si>
    <t>fegs115</t>
  </si>
  <si>
    <t>Grip strength Left hand Mean: F11</t>
  </si>
  <si>
    <t>Other files variable names.xlsx</t>
  </si>
  <si>
    <t>MRI_YP</t>
  </si>
  <si>
    <t>MRI_YP_0040</t>
  </si>
  <si>
    <t>Participant handedness</t>
  </si>
  <si>
    <t>CCF</t>
  </si>
  <si>
    <t>ccf200</t>
  </si>
  <si>
    <t>B1: Hand study child would use to draw</t>
  </si>
  <si>
    <t>ccf201</t>
  </si>
  <si>
    <t>B2: Hand study child would use to throw a ball</t>
  </si>
  <si>
    <t>ccf202</t>
  </si>
  <si>
    <t>B3: Hand study child would use to colour in</t>
  </si>
  <si>
    <t>ccf203</t>
  </si>
  <si>
    <t>B4: Hand study child would use to hold toothbrush</t>
  </si>
  <si>
    <t>ccf204</t>
  </si>
  <si>
    <t>B5: Hand study child would use to cut things with a knife</t>
  </si>
  <si>
    <t>ccf205</t>
  </si>
  <si>
    <t>B6: Hand study child would use to hit things with</t>
  </si>
  <si>
    <t>ccf210</t>
  </si>
  <si>
    <t>B7: Foot study child would use to kick a ball</t>
  </si>
  <si>
    <t>ccf211</t>
  </si>
  <si>
    <t>B8: Foot study child would use to pick up a pebble with toes</t>
  </si>
  <si>
    <t>ccf212</t>
  </si>
  <si>
    <t>B9: Foot study child would use to stamp on something</t>
  </si>
  <si>
    <t>ccf213</t>
  </si>
  <si>
    <t>B10: Foot study child would use to climb up a step</t>
  </si>
  <si>
    <t>ccf220</t>
  </si>
  <si>
    <t>B11: Eye study child would use to look through a tube</t>
  </si>
  <si>
    <t>ccf221</t>
  </si>
  <si>
    <t>B12: Eye study child would use to look into a can/bottle</t>
  </si>
  <si>
    <t>G1 questionnaire variable names.xlsx</t>
  </si>
  <si>
    <t>KJ</t>
  </si>
  <si>
    <t>kj660</t>
  </si>
  <si>
    <t>Hand CH Draws With</t>
  </si>
  <si>
    <t>kj661</t>
  </si>
  <si>
    <t>Hand CH Uses to Throw a Ball</t>
  </si>
  <si>
    <t>kj662</t>
  </si>
  <si>
    <t>Hand CH Uses to Colour in</t>
  </si>
  <si>
    <t>kj663</t>
  </si>
  <si>
    <t>Hand CH Uses to Hold Toothbrush</t>
  </si>
  <si>
    <t>kj664</t>
  </si>
  <si>
    <t>Hand CH Uses to Cut Things W Knife</t>
  </si>
  <si>
    <t>kj665</t>
  </si>
  <si>
    <t>Hand CH Uses to Hit Things</t>
  </si>
  <si>
    <t>kj666</t>
  </si>
  <si>
    <t>Handedness</t>
  </si>
  <si>
    <t>kj670</t>
  </si>
  <si>
    <t>Foot CH Uses to to Kick Ball</t>
  </si>
  <si>
    <t>kj671</t>
  </si>
  <si>
    <t>Foot Used by CH to Pick up Stone</t>
  </si>
  <si>
    <t>kj672</t>
  </si>
  <si>
    <t>Foot CH Uses to Stamp on Something</t>
  </si>
  <si>
    <t>kj673</t>
  </si>
  <si>
    <t>Foot CH Uses to Climb a Step</t>
  </si>
  <si>
    <t>kj674</t>
  </si>
  <si>
    <t>Footedness</t>
  </si>
  <si>
    <t>kj680</t>
  </si>
  <si>
    <t>Eye CH Uses to Look Through Hole</t>
  </si>
  <si>
    <t>kj681</t>
  </si>
  <si>
    <t>Eye CH Uses to Look Through Bottle</t>
  </si>
  <si>
    <t>kj682</t>
  </si>
  <si>
    <t>Eyedness</t>
  </si>
  <si>
    <t>G1 proxy questionnaire variable names.xlsx</t>
  </si>
  <si>
    <t>H</t>
  </si>
  <si>
    <t>h120a</t>
  </si>
  <si>
    <t>B1a: Hand used by mum to write</t>
  </si>
  <si>
    <t>h120b</t>
  </si>
  <si>
    <t>B1b: Hand used by mum to draw</t>
  </si>
  <si>
    <t>h120c</t>
  </si>
  <si>
    <t>B1c: Hand used by mum to throw a ball</t>
  </si>
  <si>
    <t>h120d</t>
  </si>
  <si>
    <t>B1d: Hand used by mum to hold racket</t>
  </si>
  <si>
    <t>h120e</t>
  </si>
  <si>
    <t>B1e: Hand used by mum to clean teeth</t>
  </si>
  <si>
    <t>h120f</t>
  </si>
  <si>
    <t>B1f: Hand used by mum to cut with knife</t>
  </si>
  <si>
    <t>h120g</t>
  </si>
  <si>
    <t>B1g: Hand used by mum for hammering</t>
  </si>
  <si>
    <t>h120h</t>
  </si>
  <si>
    <t>B1h: Hand used by mum to strike a match</t>
  </si>
  <si>
    <t>h120i</t>
  </si>
  <si>
    <t>B1i: Hand used by mum to use eraser</t>
  </si>
  <si>
    <t>h120j</t>
  </si>
  <si>
    <t>B1j: Hand used by mum to deal cards</t>
  </si>
  <si>
    <t>h120k</t>
  </si>
  <si>
    <t>B1k: Hand used by mum to thread needle</t>
  </si>
  <si>
    <t>h121</t>
  </si>
  <si>
    <t>DV: Handedness Score</t>
  </si>
  <si>
    <t>h121a</t>
  </si>
  <si>
    <t>DV: Handedness Score Grouped</t>
  </si>
  <si>
    <t>h122a</t>
  </si>
  <si>
    <t>B2a: Foot used by mum to kick a ball</t>
  </si>
  <si>
    <t>h122b</t>
  </si>
  <si>
    <t>B2b: Foot used by mum to pick up pebble</t>
  </si>
  <si>
    <t>h122c</t>
  </si>
  <si>
    <t>B2c: Foot used by mum to step on insect</t>
  </si>
  <si>
    <t>h122d</t>
  </si>
  <si>
    <t>B2d: Foot used by mum to step onto chair</t>
  </si>
  <si>
    <t>h123</t>
  </si>
  <si>
    <t>DV: Footedness Score</t>
  </si>
  <si>
    <t>h123a</t>
  </si>
  <si>
    <t>DV: Footedness Score Grouped</t>
  </si>
  <si>
    <t>h124a</t>
  </si>
  <si>
    <t>B3a: Eye used by mum to look in telescope</t>
  </si>
  <si>
    <t>h124b</t>
  </si>
  <si>
    <t>B3b: Eye used by mum to look into dark bottle</t>
  </si>
  <si>
    <t>h125</t>
  </si>
  <si>
    <t>DV: Eyedness Score</t>
  </si>
  <si>
    <t>G0 mother questionnaire variable names.xlsx</t>
  </si>
  <si>
    <t>G0 parental clinic variable names.xlsx</t>
  </si>
  <si>
    <t>FOM2</t>
  </si>
  <si>
    <t>fm2pt017</t>
  </si>
  <si>
    <t>DV: Mean right hand grip strength (kg): FOM2</t>
  </si>
  <si>
    <t>fm2pt018</t>
  </si>
  <si>
    <t>DV: Mean left hand grip strength (kg): FOM2</t>
  </si>
  <si>
    <t>fm2pt016</t>
  </si>
  <si>
    <t>Hand mostly write with: FOM2</t>
  </si>
  <si>
    <t>FOM3</t>
  </si>
  <si>
    <t>fm3pt016</t>
  </si>
  <si>
    <t>Hand mostly write with: FOM3</t>
  </si>
  <si>
    <t>fm3pt017</t>
  </si>
  <si>
    <t>DV: Mean right hand grip strength (kg): FOM3</t>
  </si>
  <si>
    <t>fm3pt018</t>
  </si>
  <si>
    <t>DV: Mean left hand grip strength (kg): FOM3</t>
  </si>
  <si>
    <t>FOM4</t>
  </si>
  <si>
    <t>fm4pt017</t>
  </si>
  <si>
    <t>DV: Mean right hand grip strength (kg): FOM4</t>
  </si>
  <si>
    <t>fm4pt018</t>
  </si>
  <si>
    <t>DV: Mean left hand grip strength (kg): FOM4</t>
  </si>
  <si>
    <t>fm4pt016</t>
  </si>
  <si>
    <t>Hand mostly write with: FOM4</t>
  </si>
  <si>
    <t>G0 parental questionnaire variable names.xlsx</t>
  </si>
  <si>
    <t>PF</t>
  </si>
  <si>
    <t>pf2000</t>
  </si>
  <si>
    <t>B1a: Hand which partner uses normally to write</t>
  </si>
  <si>
    <t>pf2001</t>
  </si>
  <si>
    <t>B1b: Hand which partner uses to draw</t>
  </si>
  <si>
    <t>pf2002</t>
  </si>
  <si>
    <t>B1c: Hand which partner uses to throw a ball</t>
  </si>
  <si>
    <t>pf2003</t>
  </si>
  <si>
    <t>B1d: Hand which partner uses to hold a racket or bat</t>
  </si>
  <si>
    <t>pf2004</t>
  </si>
  <si>
    <t>B1e: Hand which partner uses to hold a toothbrush to clean teeth</t>
  </si>
  <si>
    <t>pf2005</t>
  </si>
  <si>
    <t>B1f: Hand which partner uses to hold a knife to cut things</t>
  </si>
  <si>
    <t>pf2006</t>
  </si>
  <si>
    <t>B1g: Hand which partner uses to hold a hammer when driving a nail</t>
  </si>
  <si>
    <t>pf2007</t>
  </si>
  <si>
    <t>B1h: Hand which partner uses to hold a match to strike it</t>
  </si>
  <si>
    <t>pf2008</t>
  </si>
  <si>
    <t>B1i: Hand which partner uses to hold a rubber to rub out a mark on paper</t>
  </si>
  <si>
    <t>pf2009</t>
  </si>
  <si>
    <t>B1j: Hand which partner uses to deal a pack of cards</t>
  </si>
  <si>
    <t>pf2010</t>
  </si>
  <si>
    <t>B1k: Hand which partner uses to hold the thread when threading a needle</t>
  </si>
  <si>
    <t>pf2020</t>
  </si>
  <si>
    <t>B2a: Foot which partner uses to kick a ball to someone</t>
  </si>
  <si>
    <t>pf2021</t>
  </si>
  <si>
    <t>B2b: Foot which partner uses to pick up a pebble with their toes</t>
  </si>
  <si>
    <t>pf2022</t>
  </si>
  <si>
    <t>B2c: Foot which partner uses to step on an insect or something similar</t>
  </si>
  <si>
    <t>pf2023</t>
  </si>
  <si>
    <t>B2d: Foot which partner puts on a chair first if you had to step onto the chair</t>
  </si>
  <si>
    <t>pf2030</t>
  </si>
  <si>
    <t>B3a: Eye which partner uses to look through a telescope</t>
  </si>
  <si>
    <t>pf2031</t>
  </si>
  <si>
    <t>B3b: Eye which partner uses to look into a dark bottle to see how full it was</t>
  </si>
  <si>
    <t>pf2040</t>
  </si>
  <si>
    <t>B4a: Hand which partner's mother uses</t>
  </si>
  <si>
    <t>pf2041</t>
  </si>
  <si>
    <t>B4b: Hand which partner's father uses</t>
  </si>
  <si>
    <t>NA</t>
  </si>
  <si>
    <t>P001752</t>
  </si>
  <si>
    <t>Self-reported</t>
  </si>
  <si>
    <t>251433001 | Grip strength (observable entity) |</t>
  </si>
  <si>
    <t>263557007 | Dominant hand |</t>
  </si>
  <si>
    <t>Dominant hand used for the grip strength test</t>
  </si>
  <si>
    <t>364940007 | Handedness finding |</t>
  </si>
  <si>
    <t>57427004 | Handedness |</t>
  </si>
  <si>
    <t>Are you right handed or left handed? (If you are not sure, which hand do you write with?)</t>
  </si>
  <si>
    <t>46669005 | Right handed |</t>
  </si>
  <si>
    <t>87683000 | Left handed |</t>
  </si>
  <si>
    <t>Are you naturally right or left handed?</t>
  </si>
  <si>
    <t>snomed_term_4</t>
  </si>
  <si>
    <t>snomed_term_3</t>
  </si>
  <si>
    <t>snomed_term_2</t>
  </si>
  <si>
    <t>snomed_term_1</t>
  </si>
  <si>
    <t>Phenotype_Description</t>
  </si>
  <si>
    <t>Historical_ID</t>
  </si>
  <si>
    <t>Data_Type</t>
  </si>
  <si>
    <t>1989 Main Questionnaire</t>
  </si>
  <si>
    <t>Code</t>
  </si>
  <si>
    <t>89_i</t>
  </si>
  <si>
    <t>89_ii</t>
  </si>
  <si>
    <t>89_iii</t>
  </si>
  <si>
    <t>89_iv</t>
  </si>
  <si>
    <t>89_v</t>
  </si>
  <si>
    <t>89_vi</t>
  </si>
  <si>
    <t>89_vii</t>
  </si>
  <si>
    <t>handedness deals cards with</t>
  </si>
  <si>
    <t>handedness hammers a nail with</t>
  </si>
  <si>
    <t>handedness brushes teeth with</t>
  </si>
  <si>
    <t>handedness writes with</t>
  </si>
  <si>
    <t>strikes a match with</t>
  </si>
  <si>
    <t>throws a ball with</t>
  </si>
  <si>
    <t>bats a ball with</t>
  </si>
  <si>
    <t>source</t>
  </si>
  <si>
    <t>question</t>
  </si>
  <si>
    <t>hdwr89</t>
  </si>
  <si>
    <t>hdbt89</t>
  </si>
  <si>
    <t>hdde89</t>
  </si>
  <si>
    <t>hdha89</t>
  </si>
  <si>
    <t>hdmt89</t>
  </si>
  <si>
    <t>hdte89</t>
  </si>
  <si>
    <t>hdth89</t>
  </si>
  <si>
    <t>Name</t>
  </si>
  <si>
    <t>either hand</t>
  </si>
  <si>
    <t>left hand</t>
  </si>
  <si>
    <t>right hand</t>
  </si>
  <si>
    <t>Total for this question</t>
  </si>
  <si>
    <t>% either hand</t>
  </si>
  <si>
    <t>% left hand</t>
  </si>
  <si>
    <t>Average either hand</t>
  </si>
  <si>
    <t>Average left hand</t>
  </si>
  <si>
    <t>ccf_r1b</t>
  </si>
  <si>
    <t>hand ch uses to colour in</t>
  </si>
  <si>
    <t>footedness</t>
  </si>
  <si>
    <t>KR</t>
  </si>
  <si>
    <t>kr800</t>
  </si>
  <si>
    <t>DV: DAWBA DSM-IV clinical diagnosis - Combined ADHD</t>
  </si>
  <si>
    <t>kr801</t>
  </si>
  <si>
    <t>DV: DAWBA DSM-IV clinical diagnosis - Inattentive ADHD</t>
  </si>
  <si>
    <t>kr802</t>
  </si>
  <si>
    <t>DV: DAWBA DSM-IV clinical diagnosis - Hyperactive-impulsive ADHD</t>
  </si>
  <si>
    <t>kr803</t>
  </si>
  <si>
    <t>DV: DAWBA DSM-IV clinical diagnosis - ADHD disorder status</t>
  </si>
  <si>
    <t>kr803a</t>
  </si>
  <si>
    <t>DV: DAWBA DSM-IV clinical diagnosis - Any ADHD disorder</t>
  </si>
  <si>
    <t>kr810</t>
  </si>
  <si>
    <t>DV: DAWBA DSM-IV clinical diagnosis - Oppositional defiant disorder</t>
  </si>
  <si>
    <t>kr811</t>
  </si>
  <si>
    <t>DV: DAWBA DSM-IV clinical diagnosis - Conduct disorder</t>
  </si>
  <si>
    <t>kr812</t>
  </si>
  <si>
    <t>DV: DAWBA DSM-IV clinical diagnosis - Disruptive behaviour disorder NOS</t>
  </si>
  <si>
    <t>kr813</t>
  </si>
  <si>
    <t>DV: DAWBA DSM-IV clinical diagnosis - Oppositional-conduct disorder status</t>
  </si>
  <si>
    <t>kr813a</t>
  </si>
  <si>
    <t>DV: DAWBA DSM-IV clinical diagnosis - Any oppositional-conduct disorder</t>
  </si>
  <si>
    <t>kr815</t>
  </si>
  <si>
    <t>DV: DAWBA DSM-IV clinical diagnosis - Pervasive development disorder</t>
  </si>
  <si>
    <t>kr820</t>
  </si>
  <si>
    <t>DV: DAWBA DSM-IV clinical diagnosis - Separation anxiety disorder</t>
  </si>
  <si>
    <t>kr821</t>
  </si>
  <si>
    <t>DV: DAWBA DSM-IV clinical diagnosis - Specific phobia</t>
  </si>
  <si>
    <t>kr822</t>
  </si>
  <si>
    <t>DV: DAWBA DSM-IV clinical diagnosis - Social phobia</t>
  </si>
  <si>
    <t>kr823</t>
  </si>
  <si>
    <t>DV: DAWBA DSM-IV clinical diagnosis - Posttraumatic stress disorder</t>
  </si>
  <si>
    <t>kr824</t>
  </si>
  <si>
    <t>DV: DAWBA DSM-IV clinical diagnosis - Obsessive-compulsive disorder</t>
  </si>
  <si>
    <t>kr825</t>
  </si>
  <si>
    <t>DV: DAWBA DSM-IV clinical diagnosis - Generalized anxiety disorder</t>
  </si>
  <si>
    <t>kr826</t>
  </si>
  <si>
    <t>DV: DAWBA DSM-IV clinical diagnosis - Anxiety disorder NOS</t>
  </si>
  <si>
    <t>kr827</t>
  </si>
  <si>
    <t>DV: DAWBA DSM-IV clinical diagnosis - Number of anxiety disorders</t>
  </si>
  <si>
    <t>kr827a</t>
  </si>
  <si>
    <t>DV: DAWBA DSM-IV clinical diagnosis - Any anxiety disorder</t>
  </si>
  <si>
    <t>kr830</t>
  </si>
  <si>
    <t>DV: DAWBA DSM-IV clinical diagnosis - Major depressive disorder</t>
  </si>
  <si>
    <t>kr831</t>
  </si>
  <si>
    <t>DV: DAWBA DSM-IV clinical diagnosis - Depressive disorder NOS</t>
  </si>
  <si>
    <t>kr832</t>
  </si>
  <si>
    <t>DV: DAWBA DSM-IV clinical diagnosis - Depressive disorder status</t>
  </si>
  <si>
    <t>kr832a</t>
  </si>
  <si>
    <t>DV: DAWBA DSM-IV clinical diagnosis - Any depressive disorder</t>
  </si>
  <si>
    <t>1999 Self completion</t>
  </si>
  <si>
    <t>GHQ0199-GHQ2899</t>
  </si>
  <si>
    <t>General Health questionnaire</t>
  </si>
  <si>
    <t>Psychosis screening questions</t>
  </si>
  <si>
    <t>PSQ199-PSQ599</t>
  </si>
  <si>
    <t>Psychiatric Symptom Frequency inventory</t>
  </si>
  <si>
    <t>PSTIR89</t>
  </si>
  <si>
    <t>TIRED EASILY</t>
  </si>
  <si>
    <t>PSLET89</t>
  </si>
  <si>
    <t>HARD TO DO THINGS</t>
  </si>
  <si>
    <t>PSFUT89</t>
  </si>
  <si>
    <t>NO FUTURE</t>
  </si>
  <si>
    <t>PSNEG89</t>
  </si>
  <si>
    <t>NEGLECTING THINGS BC THINKING TOO MUCH</t>
  </si>
  <si>
    <t>PSINT89</t>
  </si>
  <si>
    <t>LOST INTEREST IN THINGS</t>
  </si>
  <si>
    <t>PSSU89</t>
  </si>
  <si>
    <t>4 ITEMS ON SUICIDAL IDEATION</t>
  </si>
  <si>
    <t>PSLIF89</t>
  </si>
  <si>
    <t>EMOTIONS INTERPOSE IN HAVING FUNCTIONAL LIFE</t>
  </si>
  <si>
    <t>PSTH89</t>
  </si>
  <si>
    <t>DISTRACTED</t>
  </si>
  <si>
    <t>PSFID89</t>
  </si>
  <si>
    <t>RESTLESS</t>
  </si>
  <si>
    <t>PSILL89</t>
  </si>
  <si>
    <t>HYPOCONDRIAC</t>
  </si>
  <si>
    <t>PSPAN89</t>
  </si>
  <si>
    <t>PSSLE89</t>
  </si>
  <si>
    <t>SLEEPING</t>
  </si>
  <si>
    <t>PSWAK89</t>
  </si>
  <si>
    <t>WAKING UP</t>
  </si>
  <si>
    <t>ANXIETY ATTACK</t>
  </si>
  <si>
    <t>APPETITE</t>
  </si>
  <si>
    <t>PSNAP89</t>
  </si>
  <si>
    <t>PSMUD89</t>
  </si>
  <si>
    <t>PROBLEM THINKING TOO SLOW</t>
  </si>
  <si>
    <t>PSSIT89</t>
  </si>
  <si>
    <t>ANXIOUS</t>
  </si>
  <si>
    <t>PSTER89</t>
  </si>
  <si>
    <t>PARANOIA</t>
  </si>
  <si>
    <t>PSLAM89</t>
  </si>
  <si>
    <t>DEPRESSED</t>
  </si>
  <si>
    <t>PSLOW89</t>
  </si>
  <si>
    <t>MISERABLE</t>
  </si>
  <si>
    <t>PSKEY89</t>
  </si>
  <si>
    <t>MENTALLY TENSE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</si>
</sst>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212529"/>
      <name val="Verdana"/>
      <family val="2"/>
    </font>
    <font>
      <sz val="8"/>
      <color rgb="FF212529"/>
      <name val="Verdana"/>
      <family val="2"/>
    </font>
    <font>
      <u/>
      <sz val="11"/>
      <color theme="10"/>
      <name val="Aptos Narrow"/>
      <family val="2"/>
      <scheme val="minor"/>
    </font>
    <font>
      <sz val="8"/>
      <color rgb="FF4753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/>
    <xf numFmtId="0" fontId="2" fillId="0" borderId="0"/>
  </cellStyleXfs>
  <cellXfs count="29">
    <xf numFmtId="0" fontId="0" fillId="0" borderId="0" xfId="0"/>
    <xf numFmtId="0" fontId="0" fillId="2" borderId="0" xfId="0" applyFill="1"/>
    <xf numFmtId="0" fontId="9" fillId="0" borderId="0" xfId="0" applyFont="1" applyAlignment="1">
      <alignment vertical="center" wrapText="1"/>
    </xf>
    <xf numFmtId="0" fontId="11" fillId="0" borderId="0" xfId="4" applyAlignment="1">
      <alignment vertical="center" wrapText="1"/>
    </xf>
    <xf numFmtId="0" fontId="10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0" fillId="0" borderId="1" xfId="0" applyFont="1" applyBorder="1"/>
    <xf numFmtId="3" fontId="0" fillId="0" borderId="1" xfId="0" applyNumberFormat="1" applyBorder="1"/>
    <xf numFmtId="0" fontId="3" fillId="0" borderId="0" xfId="1" applyFont="1" applyAlignment="1">
      <alignment horizontal="left" vertical="top"/>
    </xf>
    <xf numFmtId="0" fontId="1" fillId="0" borderId="0" xfId="0" applyFont="1"/>
    <xf numFmtId="0" fontId="4" fillId="0" borderId="0" xfId="0" applyFont="1"/>
    <xf numFmtId="0" fontId="5" fillId="0" borderId="0" xfId="1" applyFont="1" applyAlignment="1">
      <alignment horizontal="left" vertical="top"/>
    </xf>
    <xf numFmtId="0" fontId="6" fillId="0" borderId="0" xfId="2" applyFont="1" applyAlignment="1">
      <alignment horizontal="left" vertical="top"/>
    </xf>
    <xf numFmtId="0" fontId="6" fillId="0" borderId="0" xfId="2" applyFont="1" applyAlignment="1">
      <alignment horizontal="left" vertical="center"/>
    </xf>
    <xf numFmtId="0" fontId="3" fillId="0" borderId="0" xfId="3" applyFont="1" applyAlignment="1">
      <alignment horizontal="left" vertical="top" wrapText="1"/>
    </xf>
    <xf numFmtId="0" fontId="3" fillId="0" borderId="0" xfId="3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6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top"/>
    </xf>
    <xf numFmtId="0" fontId="1" fillId="3" borderId="0" xfId="0" applyFont="1" applyFill="1"/>
    <xf numFmtId="0" fontId="4" fillId="4" borderId="0" xfId="0" applyFont="1" applyFill="1"/>
    <xf numFmtId="0" fontId="0" fillId="4" borderId="0" xfId="0" applyFill="1"/>
    <xf numFmtId="0" fontId="4" fillId="3" borderId="0" xfId="0" applyFont="1" applyFill="1"/>
    <xf numFmtId="0" fontId="6" fillId="3" borderId="0" xfId="5" applyFont="1" applyFill="1" applyAlignment="1">
      <alignment horizontal="left" vertical="top"/>
    </xf>
    <xf numFmtId="0" fontId="6" fillId="3" borderId="0" xfId="5" applyFont="1" applyFill="1" applyAlignment="1">
      <alignment horizontal="left" vertical="center"/>
    </xf>
    <xf numFmtId="0" fontId="10" fillId="0" borderId="0" xfId="0" applyFont="1" applyFill="1" applyBorder="1"/>
    <xf numFmtId="0" fontId="12" fillId="0" borderId="0" xfId="0" applyFont="1" applyAlignment="1">
      <alignment horizontal="left" vertical="center" wrapText="1" indent="1"/>
    </xf>
  </cellXfs>
  <cellStyles count="6">
    <cellStyle name="Hipervínculo" xfId="4" builtinId="8"/>
    <cellStyle name="Normal" xfId="0" builtinId="0"/>
    <cellStyle name="Normal_CCF" xfId="2" xr:uid="{3892C508-92FB-4980-B634-9D187C7B076B}"/>
    <cellStyle name="Normal_KA" xfId="1" xr:uid="{F864508F-FB57-4B11-A3DF-11DEF2135773}"/>
    <cellStyle name="Normal_KJ" xfId="3" xr:uid="{B60FACE8-7C49-4E67-8293-8E7A02695DC9}"/>
    <cellStyle name="Normal_KR" xfId="5" xr:uid="{2FB800BD-43BF-4676-A381-716C042E10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very.closer.ac.uk/Item/uk.lha/bc8b321c-4d2e-40fc-9246-dc2c3b87b4bf/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304A-F3EE-49CB-A077-6E0DDD2B7BB3}">
  <dimension ref="A1:H107"/>
  <sheetViews>
    <sheetView topLeftCell="A70" workbookViewId="0">
      <selection activeCell="F84" sqref="F84:H107"/>
    </sheetView>
  </sheetViews>
  <sheetFormatPr baseColWidth="10" defaultRowHeight="14.5" x14ac:dyDescent="0.35"/>
  <cols>
    <col min="2" max="2" width="6.90625" bestFit="1" customWidth="1"/>
    <col min="3" max="3" width="11.54296875" bestFit="1" customWidth="1"/>
    <col min="4" max="4" width="47.1796875" customWidth="1"/>
    <col min="5" max="5" width="1.08984375" style="23" customWidth="1"/>
  </cols>
  <sheetData>
    <row r="1" spans="1:8" x14ac:dyDescent="0.35">
      <c r="A1" t="s">
        <v>0</v>
      </c>
      <c r="B1" s="9" t="s">
        <v>1</v>
      </c>
      <c r="C1" s="10" t="s">
        <v>2</v>
      </c>
      <c r="D1" s="10" t="s">
        <v>3</v>
      </c>
      <c r="E1" s="22"/>
      <c r="F1" s="20" t="s">
        <v>1</v>
      </c>
      <c r="G1" s="21" t="s">
        <v>2</v>
      </c>
      <c r="H1" s="21" t="s">
        <v>3</v>
      </c>
    </row>
    <row r="2" spans="1:8" x14ac:dyDescent="0.35">
      <c r="B2" s="12" t="s">
        <v>4</v>
      </c>
      <c r="C2" s="11" t="s">
        <v>5</v>
      </c>
      <c r="D2" s="11" t="s">
        <v>6</v>
      </c>
    </row>
    <row r="3" spans="1:8" x14ac:dyDescent="0.35">
      <c r="B3" s="9" t="s">
        <v>7</v>
      </c>
      <c r="C3" s="11" t="s">
        <v>8</v>
      </c>
      <c r="D3" s="11" t="s">
        <v>9</v>
      </c>
      <c r="F3" s="20" t="s">
        <v>7</v>
      </c>
      <c r="G3" s="21" t="s">
        <v>8</v>
      </c>
      <c r="H3" s="21" t="s">
        <v>11</v>
      </c>
    </row>
    <row r="4" spans="1:8" x14ac:dyDescent="0.35">
      <c r="B4" s="9" t="s">
        <v>7</v>
      </c>
      <c r="C4" s="11" t="s">
        <v>10</v>
      </c>
      <c r="D4" s="11" t="s">
        <v>11</v>
      </c>
      <c r="F4" s="20" t="s">
        <v>7</v>
      </c>
      <c r="G4" s="21" t="s">
        <v>10</v>
      </c>
      <c r="H4" s="21" t="s">
        <v>9</v>
      </c>
    </row>
    <row r="5" spans="1:8" x14ac:dyDescent="0.35">
      <c r="A5" t="s">
        <v>12</v>
      </c>
      <c r="B5" t="s">
        <v>13</v>
      </c>
      <c r="C5" t="s">
        <v>14</v>
      </c>
      <c r="D5" t="s">
        <v>15</v>
      </c>
    </row>
    <row r="6" spans="1:8" x14ac:dyDescent="0.35">
      <c r="A6" t="s">
        <v>41</v>
      </c>
      <c r="B6" s="12" t="s">
        <v>16</v>
      </c>
      <c r="C6" s="13" t="s">
        <v>17</v>
      </c>
      <c r="D6" s="14" t="s">
        <v>18</v>
      </c>
    </row>
    <row r="7" spans="1:8" x14ac:dyDescent="0.35">
      <c r="B7" s="12" t="s">
        <v>16</v>
      </c>
      <c r="C7" s="13" t="s">
        <v>19</v>
      </c>
      <c r="D7" s="14" t="s">
        <v>20</v>
      </c>
    </row>
    <row r="8" spans="1:8" x14ac:dyDescent="0.35">
      <c r="B8" s="12" t="s">
        <v>16</v>
      </c>
      <c r="C8" s="13" t="s">
        <v>21</v>
      </c>
      <c r="D8" s="14" t="s">
        <v>22</v>
      </c>
    </row>
    <row r="9" spans="1:8" x14ac:dyDescent="0.35">
      <c r="B9" s="12" t="s">
        <v>16</v>
      </c>
      <c r="C9" s="13" t="s">
        <v>23</v>
      </c>
      <c r="D9" s="14" t="s">
        <v>24</v>
      </c>
      <c r="F9" t="s">
        <v>235</v>
      </c>
      <c r="G9" t="s">
        <v>23</v>
      </c>
      <c r="H9" t="s">
        <v>24</v>
      </c>
    </row>
    <row r="10" spans="1:8" x14ac:dyDescent="0.35">
      <c r="B10" s="12" t="s">
        <v>16</v>
      </c>
      <c r="C10" s="13" t="s">
        <v>25</v>
      </c>
      <c r="D10" s="14" t="s">
        <v>26</v>
      </c>
    </row>
    <row r="11" spans="1:8" x14ac:dyDescent="0.35">
      <c r="B11" s="12" t="s">
        <v>16</v>
      </c>
      <c r="C11" s="13" t="s">
        <v>27</v>
      </c>
      <c r="D11" s="14" t="s">
        <v>28</v>
      </c>
    </row>
    <row r="12" spans="1:8" x14ac:dyDescent="0.35">
      <c r="B12" s="12" t="s">
        <v>16</v>
      </c>
      <c r="C12" s="13" t="s">
        <v>29</v>
      </c>
      <c r="D12" s="14" t="s">
        <v>30</v>
      </c>
    </row>
    <row r="13" spans="1:8" x14ac:dyDescent="0.35">
      <c r="B13" s="12" t="s">
        <v>16</v>
      </c>
      <c r="C13" s="13" t="s">
        <v>31</v>
      </c>
      <c r="D13" s="14" t="s">
        <v>32</v>
      </c>
    </row>
    <row r="14" spans="1:8" x14ac:dyDescent="0.35">
      <c r="B14" s="12" t="s">
        <v>16</v>
      </c>
      <c r="C14" s="13" t="s">
        <v>33</v>
      </c>
      <c r="D14" s="14" t="s">
        <v>34</v>
      </c>
    </row>
    <row r="15" spans="1:8" x14ac:dyDescent="0.35">
      <c r="B15" s="12" t="s">
        <v>16</v>
      </c>
      <c r="C15" s="13" t="s">
        <v>35</v>
      </c>
      <c r="D15" s="14" t="s">
        <v>36</v>
      </c>
    </row>
    <row r="16" spans="1:8" x14ac:dyDescent="0.35">
      <c r="B16" s="12" t="s">
        <v>16</v>
      </c>
      <c r="C16" s="13" t="s">
        <v>37</v>
      </c>
      <c r="D16" s="14" t="s">
        <v>38</v>
      </c>
    </row>
    <row r="17" spans="1:8" x14ac:dyDescent="0.35">
      <c r="B17" s="12" t="s">
        <v>16</v>
      </c>
      <c r="C17" s="13" t="s">
        <v>39</v>
      </c>
      <c r="D17" s="14" t="s">
        <v>40</v>
      </c>
    </row>
    <row r="18" spans="1:8" x14ac:dyDescent="0.35">
      <c r="A18" t="s">
        <v>73</v>
      </c>
      <c r="B18" s="11" t="s">
        <v>42</v>
      </c>
      <c r="C18" s="15" t="s">
        <v>43</v>
      </c>
      <c r="D18" s="16" t="s">
        <v>44</v>
      </c>
      <c r="F18" s="24" t="s">
        <v>42</v>
      </c>
      <c r="G18" s="24" t="s">
        <v>43</v>
      </c>
      <c r="H18" s="24" t="s">
        <v>44</v>
      </c>
    </row>
    <row r="19" spans="1:8" x14ac:dyDescent="0.35">
      <c r="B19" s="11" t="s">
        <v>42</v>
      </c>
      <c r="C19" s="15" t="s">
        <v>45</v>
      </c>
      <c r="D19" s="16" t="s">
        <v>46</v>
      </c>
      <c r="F19" s="24" t="s">
        <v>42</v>
      </c>
      <c r="G19" s="24" t="s">
        <v>45</v>
      </c>
      <c r="H19" s="24" t="s">
        <v>46</v>
      </c>
    </row>
    <row r="20" spans="1:8" x14ac:dyDescent="0.35">
      <c r="B20" s="11" t="s">
        <v>42</v>
      </c>
      <c r="C20" s="15" t="s">
        <v>47</v>
      </c>
      <c r="D20" s="16" t="s">
        <v>48</v>
      </c>
      <c r="F20" s="24" t="s">
        <v>42</v>
      </c>
      <c r="G20" s="24" t="s">
        <v>47</v>
      </c>
      <c r="H20" s="24" t="s">
        <v>236</v>
      </c>
    </row>
    <row r="21" spans="1:8" x14ac:dyDescent="0.35">
      <c r="B21" s="11" t="s">
        <v>42</v>
      </c>
      <c r="C21" s="15" t="s">
        <v>49</v>
      </c>
      <c r="D21" s="16" t="s">
        <v>50</v>
      </c>
      <c r="F21" s="24" t="s">
        <v>42</v>
      </c>
      <c r="G21" s="24" t="s">
        <v>49</v>
      </c>
      <c r="H21" s="24" t="s">
        <v>50</v>
      </c>
    </row>
    <row r="22" spans="1:8" x14ac:dyDescent="0.35">
      <c r="B22" s="11" t="s">
        <v>42</v>
      </c>
      <c r="C22" s="15" t="s">
        <v>51</v>
      </c>
      <c r="D22" s="16" t="s">
        <v>52</v>
      </c>
      <c r="F22" s="24" t="s">
        <v>42</v>
      </c>
      <c r="G22" s="24" t="s">
        <v>51</v>
      </c>
      <c r="H22" s="24" t="s">
        <v>52</v>
      </c>
    </row>
    <row r="23" spans="1:8" x14ac:dyDescent="0.35">
      <c r="B23" s="11" t="s">
        <v>42</v>
      </c>
      <c r="C23" s="15" t="s">
        <v>53</v>
      </c>
      <c r="D23" s="16" t="s">
        <v>54</v>
      </c>
      <c r="F23" s="24" t="s">
        <v>42</v>
      </c>
      <c r="G23" s="24" t="s">
        <v>53</v>
      </c>
      <c r="H23" s="24" t="s">
        <v>54</v>
      </c>
    </row>
    <row r="24" spans="1:8" x14ac:dyDescent="0.35">
      <c r="B24" s="11" t="s">
        <v>42</v>
      </c>
      <c r="C24" s="15" t="s">
        <v>55</v>
      </c>
      <c r="D24" s="16" t="s">
        <v>56</v>
      </c>
      <c r="F24" s="24" t="s">
        <v>42</v>
      </c>
      <c r="G24" s="24" t="s">
        <v>55</v>
      </c>
      <c r="H24" s="24" t="s">
        <v>56</v>
      </c>
    </row>
    <row r="25" spans="1:8" x14ac:dyDescent="0.35">
      <c r="B25" s="11" t="s">
        <v>42</v>
      </c>
      <c r="C25" s="15" t="s">
        <v>57</v>
      </c>
      <c r="D25" s="16" t="s">
        <v>58</v>
      </c>
      <c r="F25" s="24" t="s">
        <v>42</v>
      </c>
      <c r="G25" s="24" t="s">
        <v>57</v>
      </c>
      <c r="H25" s="24" t="s">
        <v>58</v>
      </c>
    </row>
    <row r="26" spans="1:8" x14ac:dyDescent="0.35">
      <c r="B26" s="11" t="s">
        <v>42</v>
      </c>
      <c r="C26" s="15" t="s">
        <v>59</v>
      </c>
      <c r="D26" s="16" t="s">
        <v>60</v>
      </c>
      <c r="F26" s="24" t="s">
        <v>42</v>
      </c>
      <c r="G26" s="24" t="s">
        <v>59</v>
      </c>
      <c r="H26" s="24" t="s">
        <v>60</v>
      </c>
    </row>
    <row r="27" spans="1:8" x14ac:dyDescent="0.35">
      <c r="B27" s="11" t="s">
        <v>42</v>
      </c>
      <c r="C27" s="15" t="s">
        <v>61</v>
      </c>
      <c r="D27" s="16" t="s">
        <v>62</v>
      </c>
      <c r="F27" s="24" t="s">
        <v>42</v>
      </c>
      <c r="G27" s="24" t="s">
        <v>61</v>
      </c>
      <c r="H27" s="24" t="s">
        <v>62</v>
      </c>
    </row>
    <row r="28" spans="1:8" x14ac:dyDescent="0.35">
      <c r="B28" s="11" t="s">
        <v>42</v>
      </c>
      <c r="C28" s="15" t="s">
        <v>63</v>
      </c>
      <c r="D28" s="16" t="s">
        <v>64</v>
      </c>
      <c r="F28" s="24" t="s">
        <v>42</v>
      </c>
      <c r="G28" s="24" t="s">
        <v>63</v>
      </c>
      <c r="H28" s="24" t="s">
        <v>64</v>
      </c>
    </row>
    <row r="29" spans="1:8" x14ac:dyDescent="0.35">
      <c r="B29" s="11" t="s">
        <v>42</v>
      </c>
      <c r="C29" s="11" t="s">
        <v>65</v>
      </c>
      <c r="D29" s="11" t="s">
        <v>66</v>
      </c>
      <c r="F29" s="24" t="s">
        <v>42</v>
      </c>
      <c r="G29" s="24" t="s">
        <v>65</v>
      </c>
      <c r="H29" s="24" t="s">
        <v>237</v>
      </c>
    </row>
    <row r="30" spans="1:8" x14ac:dyDescent="0.35">
      <c r="B30" s="11" t="s">
        <v>42</v>
      </c>
      <c r="C30" s="11" t="s">
        <v>67</v>
      </c>
      <c r="D30" s="11" t="s">
        <v>68</v>
      </c>
      <c r="F30" s="24" t="s">
        <v>42</v>
      </c>
      <c r="G30" s="24" t="s">
        <v>67</v>
      </c>
      <c r="H30" s="24" t="s">
        <v>68</v>
      </c>
    </row>
    <row r="31" spans="1:8" x14ac:dyDescent="0.35">
      <c r="B31" s="11" t="s">
        <v>42</v>
      </c>
      <c r="C31" s="11" t="s">
        <v>69</v>
      </c>
      <c r="D31" s="11" t="s">
        <v>70</v>
      </c>
      <c r="F31" s="24" t="s">
        <v>42</v>
      </c>
      <c r="G31" s="24" t="s">
        <v>69</v>
      </c>
      <c r="H31" s="24" t="s">
        <v>70</v>
      </c>
    </row>
    <row r="32" spans="1:8" x14ac:dyDescent="0.35">
      <c r="B32" s="11" t="s">
        <v>42</v>
      </c>
      <c r="C32" s="11" t="s">
        <v>71</v>
      </c>
      <c r="D32" s="11" t="s">
        <v>72</v>
      </c>
      <c r="F32" s="24" t="s">
        <v>42</v>
      </c>
      <c r="G32" s="24" t="s">
        <v>71</v>
      </c>
      <c r="H32" s="24" t="s">
        <v>72</v>
      </c>
    </row>
    <row r="33" spans="1:8" x14ac:dyDescent="0.35">
      <c r="A33" t="s">
        <v>119</v>
      </c>
      <c r="B33" t="s">
        <v>74</v>
      </c>
      <c r="C33" t="s">
        <v>75</v>
      </c>
      <c r="D33" t="s">
        <v>76</v>
      </c>
      <c r="F33" s="20" t="s">
        <v>74</v>
      </c>
      <c r="G33" s="20" t="s">
        <v>75</v>
      </c>
      <c r="H33" s="20" t="s">
        <v>76</v>
      </c>
    </row>
    <row r="34" spans="1:8" x14ac:dyDescent="0.35">
      <c r="B34" t="s">
        <v>74</v>
      </c>
      <c r="C34" t="s">
        <v>77</v>
      </c>
      <c r="D34" t="s">
        <v>78</v>
      </c>
      <c r="F34" s="20" t="s">
        <v>74</v>
      </c>
      <c r="G34" s="20" t="s">
        <v>77</v>
      </c>
      <c r="H34" s="20" t="s">
        <v>78</v>
      </c>
    </row>
    <row r="35" spans="1:8" x14ac:dyDescent="0.35">
      <c r="B35" t="s">
        <v>74</v>
      </c>
      <c r="C35" t="s">
        <v>79</v>
      </c>
      <c r="D35" t="s">
        <v>80</v>
      </c>
      <c r="F35" s="20" t="s">
        <v>74</v>
      </c>
      <c r="G35" s="20" t="s">
        <v>79</v>
      </c>
      <c r="H35" s="20" t="s">
        <v>80</v>
      </c>
    </row>
    <row r="36" spans="1:8" x14ac:dyDescent="0.35">
      <c r="B36" t="s">
        <v>74</v>
      </c>
      <c r="C36" t="s">
        <v>81</v>
      </c>
      <c r="D36" t="s">
        <v>82</v>
      </c>
      <c r="F36" s="20" t="s">
        <v>74</v>
      </c>
      <c r="G36" s="20" t="s">
        <v>81</v>
      </c>
      <c r="H36" s="20" t="s">
        <v>82</v>
      </c>
    </row>
    <row r="37" spans="1:8" x14ac:dyDescent="0.35">
      <c r="B37" t="s">
        <v>74</v>
      </c>
      <c r="C37" t="s">
        <v>83</v>
      </c>
      <c r="D37" t="s">
        <v>84</v>
      </c>
      <c r="F37" s="20" t="s">
        <v>74</v>
      </c>
      <c r="G37" s="20" t="s">
        <v>83</v>
      </c>
      <c r="H37" s="20" t="s">
        <v>84</v>
      </c>
    </row>
    <row r="38" spans="1:8" x14ac:dyDescent="0.35">
      <c r="B38" t="s">
        <v>74</v>
      </c>
      <c r="C38" t="s">
        <v>85</v>
      </c>
      <c r="D38" t="s">
        <v>86</v>
      </c>
      <c r="F38" s="20" t="s">
        <v>74</v>
      </c>
      <c r="G38" s="20" t="s">
        <v>85</v>
      </c>
      <c r="H38" s="20" t="s">
        <v>86</v>
      </c>
    </row>
    <row r="39" spans="1:8" x14ac:dyDescent="0.35">
      <c r="B39" t="s">
        <v>74</v>
      </c>
      <c r="C39" t="s">
        <v>87</v>
      </c>
      <c r="D39" t="s">
        <v>88</v>
      </c>
      <c r="F39" s="20" t="s">
        <v>74</v>
      </c>
      <c r="G39" s="20" t="s">
        <v>87</v>
      </c>
      <c r="H39" s="20" t="s">
        <v>88</v>
      </c>
    </row>
    <row r="40" spans="1:8" x14ac:dyDescent="0.35">
      <c r="B40" t="s">
        <v>74</v>
      </c>
      <c r="C40" t="s">
        <v>89</v>
      </c>
      <c r="D40" t="s">
        <v>90</v>
      </c>
      <c r="F40" s="20" t="s">
        <v>74</v>
      </c>
      <c r="G40" s="20" t="s">
        <v>89</v>
      </c>
      <c r="H40" s="20" t="s">
        <v>90</v>
      </c>
    </row>
    <row r="41" spans="1:8" x14ac:dyDescent="0.35">
      <c r="B41" t="s">
        <v>74</v>
      </c>
      <c r="C41" t="s">
        <v>91</v>
      </c>
      <c r="D41" t="s">
        <v>92</v>
      </c>
      <c r="F41" s="20" t="s">
        <v>74</v>
      </c>
      <c r="G41" s="20" t="s">
        <v>91</v>
      </c>
      <c r="H41" s="20" t="s">
        <v>92</v>
      </c>
    </row>
    <row r="42" spans="1:8" x14ac:dyDescent="0.35">
      <c r="B42" t="s">
        <v>74</v>
      </c>
      <c r="C42" t="s">
        <v>93</v>
      </c>
      <c r="D42" t="s">
        <v>94</v>
      </c>
      <c r="F42" s="20" t="s">
        <v>74</v>
      </c>
      <c r="G42" s="20" t="s">
        <v>93</v>
      </c>
      <c r="H42" s="20" t="s">
        <v>94</v>
      </c>
    </row>
    <row r="43" spans="1:8" x14ac:dyDescent="0.35">
      <c r="B43" t="s">
        <v>74</v>
      </c>
      <c r="C43" t="s">
        <v>95</v>
      </c>
      <c r="D43" t="s">
        <v>96</v>
      </c>
      <c r="F43" s="20" t="s">
        <v>74</v>
      </c>
      <c r="G43" s="20" t="s">
        <v>95</v>
      </c>
      <c r="H43" s="20" t="s">
        <v>96</v>
      </c>
    </row>
    <row r="44" spans="1:8" x14ac:dyDescent="0.35">
      <c r="B44" t="s">
        <v>74</v>
      </c>
      <c r="C44" t="s">
        <v>97</v>
      </c>
      <c r="D44" t="s">
        <v>98</v>
      </c>
      <c r="F44" s="20" t="s">
        <v>74</v>
      </c>
      <c r="G44" s="20" t="s">
        <v>97</v>
      </c>
      <c r="H44" s="20" t="s">
        <v>98</v>
      </c>
    </row>
    <row r="45" spans="1:8" x14ac:dyDescent="0.35">
      <c r="B45" t="s">
        <v>74</v>
      </c>
      <c r="C45" t="s">
        <v>99</v>
      </c>
      <c r="D45" t="s">
        <v>100</v>
      </c>
      <c r="F45" s="20" t="s">
        <v>74</v>
      </c>
      <c r="G45" s="20" t="s">
        <v>99</v>
      </c>
      <c r="H45" s="20" t="s">
        <v>100</v>
      </c>
    </row>
    <row r="46" spans="1:8" x14ac:dyDescent="0.35">
      <c r="B46" t="s">
        <v>74</v>
      </c>
      <c r="C46" t="s">
        <v>101</v>
      </c>
      <c r="D46" t="s">
        <v>102</v>
      </c>
      <c r="F46" s="20" t="s">
        <v>74</v>
      </c>
      <c r="G46" s="20" t="s">
        <v>101</v>
      </c>
      <c r="H46" s="20" t="s">
        <v>102</v>
      </c>
    </row>
    <row r="47" spans="1:8" x14ac:dyDescent="0.35">
      <c r="B47" t="s">
        <v>74</v>
      </c>
      <c r="C47" t="s">
        <v>103</v>
      </c>
      <c r="D47" t="s">
        <v>104</v>
      </c>
      <c r="F47" s="20" t="s">
        <v>74</v>
      </c>
      <c r="G47" s="20" t="s">
        <v>103</v>
      </c>
      <c r="H47" s="20" t="s">
        <v>104</v>
      </c>
    </row>
    <row r="48" spans="1:8" x14ac:dyDescent="0.35">
      <c r="B48" t="s">
        <v>74</v>
      </c>
      <c r="C48" t="s">
        <v>105</v>
      </c>
      <c r="D48" t="s">
        <v>106</v>
      </c>
      <c r="F48" s="20" t="s">
        <v>74</v>
      </c>
      <c r="G48" s="20" t="s">
        <v>105</v>
      </c>
      <c r="H48" s="20" t="s">
        <v>106</v>
      </c>
    </row>
    <row r="49" spans="1:8" x14ac:dyDescent="0.35">
      <c r="B49" t="s">
        <v>74</v>
      </c>
      <c r="C49" t="s">
        <v>107</v>
      </c>
      <c r="D49" t="s">
        <v>108</v>
      </c>
      <c r="F49" s="20" t="s">
        <v>74</v>
      </c>
      <c r="G49" s="20" t="s">
        <v>107</v>
      </c>
      <c r="H49" s="20" t="s">
        <v>108</v>
      </c>
    </row>
    <row r="50" spans="1:8" x14ac:dyDescent="0.35">
      <c r="B50" t="s">
        <v>74</v>
      </c>
      <c r="C50" t="s">
        <v>109</v>
      </c>
      <c r="D50" t="s">
        <v>110</v>
      </c>
      <c r="F50" s="20" t="s">
        <v>74</v>
      </c>
      <c r="G50" s="20" t="s">
        <v>109</v>
      </c>
      <c r="H50" s="20" t="s">
        <v>110</v>
      </c>
    </row>
    <row r="51" spans="1:8" x14ac:dyDescent="0.35">
      <c r="B51" t="s">
        <v>74</v>
      </c>
      <c r="C51" t="s">
        <v>111</v>
      </c>
      <c r="D51" t="s">
        <v>112</v>
      </c>
      <c r="F51" s="20" t="s">
        <v>74</v>
      </c>
      <c r="G51" s="20" t="s">
        <v>111</v>
      </c>
      <c r="H51" s="20" t="s">
        <v>112</v>
      </c>
    </row>
    <row r="52" spans="1:8" x14ac:dyDescent="0.35">
      <c r="B52" t="s">
        <v>74</v>
      </c>
      <c r="C52" t="s">
        <v>113</v>
      </c>
      <c r="D52" t="s">
        <v>114</v>
      </c>
      <c r="F52" s="20" t="s">
        <v>74</v>
      </c>
      <c r="G52" s="20" t="s">
        <v>113</v>
      </c>
      <c r="H52" s="20" t="s">
        <v>114</v>
      </c>
    </row>
    <row r="53" spans="1:8" x14ac:dyDescent="0.35">
      <c r="B53" t="s">
        <v>74</v>
      </c>
      <c r="C53" t="s">
        <v>115</v>
      </c>
      <c r="D53" t="s">
        <v>116</v>
      </c>
      <c r="F53" s="20" t="s">
        <v>74</v>
      </c>
      <c r="G53" s="20" t="s">
        <v>115</v>
      </c>
      <c r="H53" s="20" t="s">
        <v>116</v>
      </c>
    </row>
    <row r="54" spans="1:8" x14ac:dyDescent="0.35">
      <c r="B54" t="s">
        <v>74</v>
      </c>
      <c r="C54" t="s">
        <v>117</v>
      </c>
      <c r="D54" t="s">
        <v>118</v>
      </c>
      <c r="F54" s="20" t="s">
        <v>74</v>
      </c>
      <c r="G54" s="20" t="s">
        <v>117</v>
      </c>
      <c r="H54" s="20" t="s">
        <v>118</v>
      </c>
    </row>
    <row r="55" spans="1:8" x14ac:dyDescent="0.35">
      <c r="A55" t="s">
        <v>120</v>
      </c>
      <c r="B55" s="12" t="s">
        <v>121</v>
      </c>
      <c r="C55" s="17" t="s">
        <v>122</v>
      </c>
      <c r="D55" s="17" t="s">
        <v>123</v>
      </c>
      <c r="F55" s="24" t="s">
        <v>121</v>
      </c>
      <c r="G55" s="24" t="s">
        <v>122</v>
      </c>
      <c r="H55" s="24" t="s">
        <v>123</v>
      </c>
    </row>
    <row r="56" spans="1:8" x14ac:dyDescent="0.35">
      <c r="B56" s="12" t="s">
        <v>121</v>
      </c>
      <c r="C56" s="17" t="s">
        <v>124</v>
      </c>
      <c r="D56" s="17" t="s">
        <v>125</v>
      </c>
      <c r="F56" s="24" t="s">
        <v>121</v>
      </c>
      <c r="G56" s="24" t="s">
        <v>124</v>
      </c>
      <c r="H56" s="24" t="s">
        <v>125</v>
      </c>
    </row>
    <row r="57" spans="1:8" x14ac:dyDescent="0.35">
      <c r="B57" s="12" t="s">
        <v>121</v>
      </c>
      <c r="C57" s="17" t="s">
        <v>126</v>
      </c>
      <c r="D57" s="17" t="s">
        <v>127</v>
      </c>
      <c r="F57" s="24" t="s">
        <v>121</v>
      </c>
      <c r="G57" s="24" t="s">
        <v>126</v>
      </c>
      <c r="H57" s="24" t="s">
        <v>127</v>
      </c>
    </row>
    <row r="58" spans="1:8" x14ac:dyDescent="0.35">
      <c r="B58" s="18" t="s">
        <v>128</v>
      </c>
      <c r="C58" s="17" t="s">
        <v>131</v>
      </c>
      <c r="D58" s="17" t="s">
        <v>132</v>
      </c>
      <c r="F58" s="24" t="s">
        <v>128</v>
      </c>
      <c r="G58" s="24" t="s">
        <v>131</v>
      </c>
      <c r="H58" s="24" t="s">
        <v>132</v>
      </c>
    </row>
    <row r="59" spans="1:8" x14ac:dyDescent="0.35">
      <c r="B59" s="18" t="s">
        <v>128</v>
      </c>
      <c r="C59" s="17" t="s">
        <v>133</v>
      </c>
      <c r="D59" s="17" t="s">
        <v>134</v>
      </c>
      <c r="F59" s="24" t="s">
        <v>128</v>
      </c>
      <c r="G59" s="24" t="s">
        <v>133</v>
      </c>
      <c r="H59" s="24" t="s">
        <v>134</v>
      </c>
    </row>
    <row r="60" spans="1:8" x14ac:dyDescent="0.35">
      <c r="B60" s="18" t="s">
        <v>128</v>
      </c>
      <c r="C60" s="17" t="s">
        <v>129</v>
      </c>
      <c r="D60" s="17" t="s">
        <v>130</v>
      </c>
      <c r="F60" s="24" t="s">
        <v>128</v>
      </c>
      <c r="G60" s="24" t="s">
        <v>129</v>
      </c>
      <c r="H60" s="24" t="s">
        <v>130</v>
      </c>
    </row>
    <row r="61" spans="1:8" x14ac:dyDescent="0.35">
      <c r="B61" s="18" t="s">
        <v>135</v>
      </c>
      <c r="C61" s="17" t="s">
        <v>136</v>
      </c>
      <c r="D61" s="17" t="s">
        <v>137</v>
      </c>
    </row>
    <row r="62" spans="1:8" x14ac:dyDescent="0.35">
      <c r="B62" s="18" t="s">
        <v>135</v>
      </c>
      <c r="C62" s="17" t="s">
        <v>138</v>
      </c>
      <c r="D62" s="17" t="s">
        <v>139</v>
      </c>
    </row>
    <row r="63" spans="1:8" x14ac:dyDescent="0.35">
      <c r="B63" s="18" t="s">
        <v>135</v>
      </c>
      <c r="C63" s="17" t="s">
        <v>140</v>
      </c>
      <c r="D63" s="17" t="s">
        <v>141</v>
      </c>
    </row>
    <row r="64" spans="1:8" x14ac:dyDescent="0.35">
      <c r="A64" t="s">
        <v>142</v>
      </c>
      <c r="B64" s="12" t="s">
        <v>143</v>
      </c>
      <c r="C64" s="19" t="s">
        <v>144</v>
      </c>
      <c r="D64" s="17" t="s">
        <v>145</v>
      </c>
      <c r="F64" s="24" t="s">
        <v>143</v>
      </c>
      <c r="G64" s="24" t="s">
        <v>144</v>
      </c>
      <c r="H64" s="24" t="s">
        <v>145</v>
      </c>
    </row>
    <row r="65" spans="2:8" x14ac:dyDescent="0.35">
      <c r="B65" s="12" t="s">
        <v>143</v>
      </c>
      <c r="C65" s="19" t="s">
        <v>146</v>
      </c>
      <c r="D65" s="17" t="s">
        <v>147</v>
      </c>
      <c r="F65" s="24" t="s">
        <v>143</v>
      </c>
      <c r="G65" s="24" t="s">
        <v>146</v>
      </c>
      <c r="H65" s="24" t="s">
        <v>147</v>
      </c>
    </row>
    <row r="66" spans="2:8" x14ac:dyDescent="0.35">
      <c r="B66" s="12" t="s">
        <v>143</v>
      </c>
      <c r="C66" s="19" t="s">
        <v>148</v>
      </c>
      <c r="D66" s="17" t="s">
        <v>149</v>
      </c>
      <c r="F66" s="24" t="s">
        <v>143</v>
      </c>
      <c r="G66" s="24" t="s">
        <v>148</v>
      </c>
      <c r="H66" s="24" t="s">
        <v>149</v>
      </c>
    </row>
    <row r="67" spans="2:8" x14ac:dyDescent="0.35">
      <c r="B67" s="12" t="s">
        <v>143</v>
      </c>
      <c r="C67" s="19" t="s">
        <v>150</v>
      </c>
      <c r="D67" s="17" t="s">
        <v>151</v>
      </c>
      <c r="F67" s="24" t="s">
        <v>143</v>
      </c>
      <c r="G67" s="24" t="s">
        <v>150</v>
      </c>
      <c r="H67" s="24" t="s">
        <v>151</v>
      </c>
    </row>
    <row r="68" spans="2:8" x14ac:dyDescent="0.35">
      <c r="B68" s="12" t="s">
        <v>143</v>
      </c>
      <c r="C68" s="19" t="s">
        <v>152</v>
      </c>
      <c r="D68" s="17" t="s">
        <v>153</v>
      </c>
      <c r="F68" s="24" t="s">
        <v>143</v>
      </c>
      <c r="G68" s="24" t="s">
        <v>152</v>
      </c>
      <c r="H68" s="24" t="s">
        <v>153</v>
      </c>
    </row>
    <row r="69" spans="2:8" x14ac:dyDescent="0.35">
      <c r="B69" s="12" t="s">
        <v>143</v>
      </c>
      <c r="C69" s="19" t="s">
        <v>154</v>
      </c>
      <c r="D69" s="17" t="s">
        <v>155</v>
      </c>
      <c r="F69" s="24" t="s">
        <v>143</v>
      </c>
      <c r="G69" s="24" t="s">
        <v>154</v>
      </c>
      <c r="H69" s="24" t="s">
        <v>155</v>
      </c>
    </row>
    <row r="70" spans="2:8" x14ac:dyDescent="0.35">
      <c r="B70" s="12" t="s">
        <v>143</v>
      </c>
      <c r="C70" s="19" t="s">
        <v>156</v>
      </c>
      <c r="D70" s="17" t="s">
        <v>157</v>
      </c>
      <c r="F70" s="24" t="s">
        <v>143</v>
      </c>
      <c r="G70" s="24" t="s">
        <v>156</v>
      </c>
      <c r="H70" s="24" t="s">
        <v>157</v>
      </c>
    </row>
    <row r="71" spans="2:8" x14ac:dyDescent="0.35">
      <c r="B71" s="12" t="s">
        <v>143</v>
      </c>
      <c r="C71" s="19" t="s">
        <v>158</v>
      </c>
      <c r="D71" s="17" t="s">
        <v>159</v>
      </c>
      <c r="F71" s="24" t="s">
        <v>143</v>
      </c>
      <c r="G71" s="24" t="s">
        <v>158</v>
      </c>
      <c r="H71" s="24" t="s">
        <v>159</v>
      </c>
    </row>
    <row r="72" spans="2:8" x14ac:dyDescent="0.35">
      <c r="B72" s="12" t="s">
        <v>143</v>
      </c>
      <c r="C72" s="19" t="s">
        <v>160</v>
      </c>
      <c r="D72" s="17" t="s">
        <v>161</v>
      </c>
      <c r="F72" s="24" t="s">
        <v>143</v>
      </c>
      <c r="G72" s="24" t="s">
        <v>160</v>
      </c>
      <c r="H72" s="24" t="s">
        <v>161</v>
      </c>
    </row>
    <row r="73" spans="2:8" x14ac:dyDescent="0.35">
      <c r="B73" s="12" t="s">
        <v>143</v>
      </c>
      <c r="C73" s="19" t="s">
        <v>162</v>
      </c>
      <c r="D73" s="17" t="s">
        <v>163</v>
      </c>
      <c r="F73" s="24" t="s">
        <v>143</v>
      </c>
      <c r="G73" s="24" t="s">
        <v>162</v>
      </c>
      <c r="H73" s="24" t="s">
        <v>163</v>
      </c>
    </row>
    <row r="74" spans="2:8" x14ac:dyDescent="0.35">
      <c r="B74" s="12" t="s">
        <v>143</v>
      </c>
      <c r="C74" s="19" t="s">
        <v>164</v>
      </c>
      <c r="D74" s="17" t="s">
        <v>165</v>
      </c>
      <c r="F74" s="24" t="s">
        <v>143</v>
      </c>
      <c r="G74" s="24" t="s">
        <v>164</v>
      </c>
      <c r="H74" s="24" t="s">
        <v>165</v>
      </c>
    </row>
    <row r="75" spans="2:8" x14ac:dyDescent="0.35">
      <c r="B75" s="12" t="s">
        <v>143</v>
      </c>
      <c r="C75" s="19" t="s">
        <v>166</v>
      </c>
      <c r="D75" s="17" t="s">
        <v>167</v>
      </c>
      <c r="F75" s="24" t="s">
        <v>143</v>
      </c>
      <c r="G75" s="24" t="s">
        <v>166</v>
      </c>
      <c r="H75" s="24" t="s">
        <v>167</v>
      </c>
    </row>
    <row r="76" spans="2:8" x14ac:dyDescent="0.35">
      <c r="B76" s="12" t="s">
        <v>143</v>
      </c>
      <c r="C76" s="19" t="s">
        <v>168</v>
      </c>
      <c r="D76" s="17" t="s">
        <v>169</v>
      </c>
      <c r="F76" s="24" t="s">
        <v>143</v>
      </c>
      <c r="G76" s="24" t="s">
        <v>168</v>
      </c>
      <c r="H76" s="24" t="s">
        <v>169</v>
      </c>
    </row>
    <row r="77" spans="2:8" x14ac:dyDescent="0.35">
      <c r="B77" s="12" t="s">
        <v>143</v>
      </c>
      <c r="C77" s="19" t="s">
        <v>170</v>
      </c>
      <c r="D77" s="17" t="s">
        <v>171</v>
      </c>
      <c r="F77" s="24" t="s">
        <v>143</v>
      </c>
      <c r="G77" s="24" t="s">
        <v>170</v>
      </c>
      <c r="H77" s="24" t="s">
        <v>171</v>
      </c>
    </row>
    <row r="78" spans="2:8" x14ac:dyDescent="0.35">
      <c r="B78" s="12" t="s">
        <v>143</v>
      </c>
      <c r="C78" s="19" t="s">
        <v>172</v>
      </c>
      <c r="D78" s="17" t="s">
        <v>173</v>
      </c>
      <c r="F78" s="24" t="s">
        <v>143</v>
      </c>
      <c r="G78" s="24" t="s">
        <v>172</v>
      </c>
      <c r="H78" s="24" t="s">
        <v>173</v>
      </c>
    </row>
    <row r="79" spans="2:8" x14ac:dyDescent="0.35">
      <c r="B79" s="12" t="s">
        <v>143</v>
      </c>
      <c r="C79" s="19" t="s">
        <v>174</v>
      </c>
      <c r="D79" s="17" t="s">
        <v>175</v>
      </c>
      <c r="F79" s="24" t="s">
        <v>143</v>
      </c>
      <c r="G79" s="24" t="s">
        <v>174</v>
      </c>
      <c r="H79" s="24" t="s">
        <v>175</v>
      </c>
    </row>
    <row r="80" spans="2:8" x14ac:dyDescent="0.35">
      <c r="B80" s="12" t="s">
        <v>143</v>
      </c>
      <c r="C80" s="19" t="s">
        <v>176</v>
      </c>
      <c r="D80" s="17" t="s">
        <v>177</v>
      </c>
      <c r="F80" s="24" t="s">
        <v>143</v>
      </c>
      <c r="G80" s="24" t="s">
        <v>176</v>
      </c>
      <c r="H80" s="24" t="s">
        <v>177</v>
      </c>
    </row>
    <row r="81" spans="2:8" x14ac:dyDescent="0.35">
      <c r="B81" s="12" t="s">
        <v>143</v>
      </c>
      <c r="C81" s="19" t="s">
        <v>178</v>
      </c>
      <c r="D81" s="17" t="s">
        <v>179</v>
      </c>
      <c r="F81" s="24" t="s">
        <v>143</v>
      </c>
      <c r="G81" s="24" t="s">
        <v>178</v>
      </c>
      <c r="H81" s="24" t="s">
        <v>179</v>
      </c>
    </row>
    <row r="82" spans="2:8" x14ac:dyDescent="0.35">
      <c r="B82" s="12" t="s">
        <v>143</v>
      </c>
      <c r="C82" s="19" t="s">
        <v>180</v>
      </c>
      <c r="D82" s="17" t="s">
        <v>181</v>
      </c>
      <c r="F82" s="24" t="s">
        <v>143</v>
      </c>
      <c r="G82" s="24" t="s">
        <v>180</v>
      </c>
      <c r="H82" s="24" t="s">
        <v>181</v>
      </c>
    </row>
    <row r="84" spans="2:8" x14ac:dyDescent="0.35">
      <c r="F84" s="24" t="s">
        <v>238</v>
      </c>
      <c r="G84" s="25" t="s">
        <v>239</v>
      </c>
      <c r="H84" s="26" t="s">
        <v>240</v>
      </c>
    </row>
    <row r="85" spans="2:8" x14ac:dyDescent="0.35">
      <c r="F85" s="24" t="s">
        <v>238</v>
      </c>
      <c r="G85" s="25" t="s">
        <v>241</v>
      </c>
      <c r="H85" s="26" t="s">
        <v>242</v>
      </c>
    </row>
    <row r="86" spans="2:8" x14ac:dyDescent="0.35">
      <c r="F86" s="24" t="s">
        <v>238</v>
      </c>
      <c r="G86" s="25" t="s">
        <v>243</v>
      </c>
      <c r="H86" s="26" t="s">
        <v>244</v>
      </c>
    </row>
    <row r="87" spans="2:8" x14ac:dyDescent="0.35">
      <c r="F87" s="24" t="s">
        <v>238</v>
      </c>
      <c r="G87" s="25" t="s">
        <v>245</v>
      </c>
      <c r="H87" s="26" t="s">
        <v>246</v>
      </c>
    </row>
    <row r="88" spans="2:8" x14ac:dyDescent="0.35">
      <c r="F88" s="24" t="s">
        <v>238</v>
      </c>
      <c r="G88" s="25" t="s">
        <v>247</v>
      </c>
      <c r="H88" s="26" t="s">
        <v>248</v>
      </c>
    </row>
    <row r="89" spans="2:8" x14ac:dyDescent="0.35">
      <c r="F89" s="24" t="s">
        <v>238</v>
      </c>
      <c r="G89" s="25" t="s">
        <v>249</v>
      </c>
      <c r="H89" s="26" t="s">
        <v>250</v>
      </c>
    </row>
    <row r="90" spans="2:8" x14ac:dyDescent="0.35">
      <c r="F90" s="24" t="s">
        <v>238</v>
      </c>
      <c r="G90" s="25" t="s">
        <v>251</v>
      </c>
      <c r="H90" s="26" t="s">
        <v>252</v>
      </c>
    </row>
    <row r="91" spans="2:8" x14ac:dyDescent="0.35">
      <c r="F91" s="24" t="s">
        <v>238</v>
      </c>
      <c r="G91" s="25" t="s">
        <v>253</v>
      </c>
      <c r="H91" s="26" t="s">
        <v>254</v>
      </c>
    </row>
    <row r="92" spans="2:8" x14ac:dyDescent="0.35">
      <c r="F92" s="24" t="s">
        <v>238</v>
      </c>
      <c r="G92" s="25" t="s">
        <v>255</v>
      </c>
      <c r="H92" s="26" t="s">
        <v>256</v>
      </c>
    </row>
    <row r="93" spans="2:8" x14ac:dyDescent="0.35">
      <c r="F93" s="24" t="s">
        <v>238</v>
      </c>
      <c r="G93" s="25" t="s">
        <v>257</v>
      </c>
      <c r="H93" s="26" t="s">
        <v>258</v>
      </c>
    </row>
    <row r="94" spans="2:8" x14ac:dyDescent="0.35">
      <c r="F94" s="24" t="s">
        <v>238</v>
      </c>
      <c r="G94" s="25" t="s">
        <v>259</v>
      </c>
      <c r="H94" s="26" t="s">
        <v>260</v>
      </c>
    </row>
    <row r="95" spans="2:8" x14ac:dyDescent="0.35">
      <c r="F95" s="24" t="s">
        <v>238</v>
      </c>
      <c r="G95" s="25" t="s">
        <v>261</v>
      </c>
      <c r="H95" s="26" t="s">
        <v>262</v>
      </c>
    </row>
    <row r="96" spans="2:8" x14ac:dyDescent="0.35">
      <c r="F96" s="24" t="s">
        <v>238</v>
      </c>
      <c r="G96" s="25" t="s">
        <v>263</v>
      </c>
      <c r="H96" s="26" t="s">
        <v>264</v>
      </c>
    </row>
    <row r="97" spans="6:8" x14ac:dyDescent="0.35">
      <c r="F97" s="24" t="s">
        <v>238</v>
      </c>
      <c r="G97" s="25" t="s">
        <v>265</v>
      </c>
      <c r="H97" s="26" t="s">
        <v>266</v>
      </c>
    </row>
    <row r="98" spans="6:8" x14ac:dyDescent="0.35">
      <c r="F98" s="24" t="s">
        <v>238</v>
      </c>
      <c r="G98" s="25" t="s">
        <v>267</v>
      </c>
      <c r="H98" s="26" t="s">
        <v>268</v>
      </c>
    </row>
    <row r="99" spans="6:8" x14ac:dyDescent="0.35">
      <c r="F99" s="24" t="s">
        <v>238</v>
      </c>
      <c r="G99" s="25" t="s">
        <v>269</v>
      </c>
      <c r="H99" s="26" t="s">
        <v>270</v>
      </c>
    </row>
    <row r="100" spans="6:8" x14ac:dyDescent="0.35">
      <c r="F100" s="24" t="s">
        <v>238</v>
      </c>
      <c r="G100" s="25" t="s">
        <v>271</v>
      </c>
      <c r="H100" s="26" t="s">
        <v>272</v>
      </c>
    </row>
    <row r="101" spans="6:8" x14ac:dyDescent="0.35">
      <c r="F101" s="24" t="s">
        <v>238</v>
      </c>
      <c r="G101" s="25" t="s">
        <v>273</v>
      </c>
      <c r="H101" s="26" t="s">
        <v>274</v>
      </c>
    </row>
    <row r="102" spans="6:8" x14ac:dyDescent="0.35">
      <c r="F102" s="24" t="s">
        <v>238</v>
      </c>
      <c r="G102" s="25" t="s">
        <v>275</v>
      </c>
      <c r="H102" s="26" t="s">
        <v>276</v>
      </c>
    </row>
    <row r="103" spans="6:8" x14ac:dyDescent="0.35">
      <c r="F103" s="24" t="s">
        <v>238</v>
      </c>
      <c r="G103" s="25" t="s">
        <v>277</v>
      </c>
      <c r="H103" s="26" t="s">
        <v>278</v>
      </c>
    </row>
    <row r="104" spans="6:8" x14ac:dyDescent="0.35">
      <c r="F104" s="24" t="s">
        <v>238</v>
      </c>
      <c r="G104" s="25" t="s">
        <v>279</v>
      </c>
      <c r="H104" s="26" t="s">
        <v>280</v>
      </c>
    </row>
    <row r="105" spans="6:8" x14ac:dyDescent="0.35">
      <c r="F105" s="24" t="s">
        <v>238</v>
      </c>
      <c r="G105" s="25" t="s">
        <v>281</v>
      </c>
      <c r="H105" s="26" t="s">
        <v>282</v>
      </c>
    </row>
    <row r="106" spans="6:8" x14ac:dyDescent="0.35">
      <c r="F106" s="24" t="s">
        <v>238</v>
      </c>
      <c r="G106" s="25" t="s">
        <v>283</v>
      </c>
      <c r="H106" s="26" t="s">
        <v>284</v>
      </c>
    </row>
    <row r="107" spans="6:8" x14ac:dyDescent="0.35">
      <c r="F107" s="24" t="s">
        <v>238</v>
      </c>
      <c r="G107" s="25" t="s">
        <v>285</v>
      </c>
      <c r="H107" s="26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2044-788E-47EB-8820-AF86F067BE79}">
  <dimension ref="A1:G5"/>
  <sheetViews>
    <sheetView workbookViewId="0">
      <selection activeCell="G17" sqref="G17"/>
    </sheetView>
  </sheetViews>
  <sheetFormatPr baseColWidth="10" defaultRowHeight="14.5" x14ac:dyDescent="0.35"/>
  <sheetData>
    <row r="1" spans="1:7" x14ac:dyDescent="0.35">
      <c r="A1" t="s">
        <v>200</v>
      </c>
      <c r="B1" t="s">
        <v>199</v>
      </c>
      <c r="C1" t="s">
        <v>198</v>
      </c>
      <c r="D1" t="s">
        <v>197</v>
      </c>
      <c r="E1" t="s">
        <v>196</v>
      </c>
      <c r="F1" t="s">
        <v>195</v>
      </c>
      <c r="G1" t="s">
        <v>194</v>
      </c>
    </row>
    <row r="2" spans="1:7" x14ac:dyDescent="0.35">
      <c r="A2" s="1" t="s">
        <v>184</v>
      </c>
      <c r="B2" s="1" t="s">
        <v>182</v>
      </c>
      <c r="C2" s="1" t="s">
        <v>193</v>
      </c>
      <c r="D2" s="1" t="s">
        <v>192</v>
      </c>
      <c r="E2" s="1" t="s">
        <v>191</v>
      </c>
      <c r="F2" s="1" t="s">
        <v>189</v>
      </c>
    </row>
    <row r="3" spans="1:7" x14ac:dyDescent="0.35">
      <c r="A3" t="s">
        <v>184</v>
      </c>
      <c r="B3" t="s">
        <v>182</v>
      </c>
      <c r="C3" t="s">
        <v>190</v>
      </c>
      <c r="D3" t="s">
        <v>189</v>
      </c>
      <c r="E3" t="s">
        <v>188</v>
      </c>
    </row>
    <row r="4" spans="1:7" x14ac:dyDescent="0.35">
      <c r="A4" t="s">
        <v>184</v>
      </c>
      <c r="B4" t="s">
        <v>182</v>
      </c>
      <c r="C4" t="s">
        <v>187</v>
      </c>
      <c r="D4" t="s">
        <v>186</v>
      </c>
      <c r="E4" t="s">
        <v>185</v>
      </c>
    </row>
    <row r="5" spans="1:7" x14ac:dyDescent="0.35">
      <c r="A5" t="s">
        <v>184</v>
      </c>
      <c r="B5" t="s">
        <v>183</v>
      </c>
      <c r="C5" t="s">
        <v>56</v>
      </c>
      <c r="D5" t="s">
        <v>182</v>
      </c>
      <c r="E5" t="s">
        <v>182</v>
      </c>
      <c r="F5" t="s">
        <v>182</v>
      </c>
      <c r="G5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6CF2-A274-4BBD-94B0-DBCFEC6B6BE0}">
  <dimension ref="A1:L32"/>
  <sheetViews>
    <sheetView tabSelected="1" topLeftCell="A6" workbookViewId="0">
      <selection activeCell="D33" sqref="D33"/>
    </sheetView>
  </sheetViews>
  <sheetFormatPr baseColWidth="10" defaultRowHeight="14.5" x14ac:dyDescent="0.35"/>
  <cols>
    <col min="3" max="3" width="16.36328125" customWidth="1"/>
    <col min="4" max="4" width="27.26953125" bestFit="1" customWidth="1"/>
    <col min="5" max="5" width="6.6328125" customWidth="1"/>
    <col min="8" max="8" width="11.90625" customWidth="1"/>
  </cols>
  <sheetData>
    <row r="1" spans="1:12" ht="29" x14ac:dyDescent="0.35">
      <c r="A1" s="3" t="s">
        <v>217</v>
      </c>
      <c r="B1" t="s">
        <v>202</v>
      </c>
      <c r="C1" s="5" t="s">
        <v>226</v>
      </c>
      <c r="D1" s="6" t="s">
        <v>218</v>
      </c>
      <c r="E1" s="6" t="s">
        <v>227</v>
      </c>
      <c r="F1" s="6" t="s">
        <v>228</v>
      </c>
      <c r="G1" s="6" t="s">
        <v>229</v>
      </c>
      <c r="H1" s="6" t="s">
        <v>230</v>
      </c>
      <c r="I1" s="6" t="s">
        <v>231</v>
      </c>
      <c r="J1" s="6" t="s">
        <v>232</v>
      </c>
      <c r="K1" s="6" t="s">
        <v>233</v>
      </c>
      <c r="L1" s="6" t="s">
        <v>234</v>
      </c>
    </row>
    <row r="2" spans="1:12" ht="34.5" x14ac:dyDescent="0.35">
      <c r="A2" s="2" t="s">
        <v>201</v>
      </c>
      <c r="B2" t="s">
        <v>203</v>
      </c>
      <c r="C2" s="7" t="s">
        <v>219</v>
      </c>
      <c r="D2" s="5" t="s">
        <v>213</v>
      </c>
      <c r="E2" s="5">
        <v>19</v>
      </c>
      <c r="F2" s="5">
        <v>293</v>
      </c>
      <c r="G2" s="8">
        <v>2921</v>
      </c>
      <c r="H2" s="5">
        <f>SUM(E2:G2)</f>
        <v>3233</v>
      </c>
      <c r="I2" s="5">
        <f>(E2/H2)*100</f>
        <v>0.58768945252087845</v>
      </c>
      <c r="J2" s="5">
        <f>(F2/H2)*100</f>
        <v>9.0627899783482828</v>
      </c>
      <c r="K2" s="5">
        <f>AVERAGE(I2:I8)</f>
        <v>1.9484573332074</v>
      </c>
      <c r="L2" s="5">
        <f>AVERAGE(J2:J8)</f>
        <v>9.032428210892375</v>
      </c>
    </row>
    <row r="3" spans="1:12" ht="34.5" x14ac:dyDescent="0.35">
      <c r="A3" s="2" t="s">
        <v>201</v>
      </c>
      <c r="B3" t="s">
        <v>204</v>
      </c>
      <c r="C3" s="7" t="s">
        <v>223</v>
      </c>
      <c r="D3" s="5" t="s">
        <v>214</v>
      </c>
      <c r="E3" s="5">
        <v>61</v>
      </c>
      <c r="F3" s="5">
        <v>273</v>
      </c>
      <c r="G3" s="8">
        <v>2886</v>
      </c>
      <c r="H3" s="5">
        <f t="shared" ref="H3:H8" si="0">SUM(E3:G3)</f>
        <v>3220</v>
      </c>
      <c r="I3" s="5">
        <f t="shared" ref="I3:I8" si="1">(E3/H3)*100</f>
        <v>1.8944099378881987</v>
      </c>
      <c r="J3" s="5">
        <f t="shared" ref="J3:J8" si="2">(F3/H3)*100</f>
        <v>8.4782608695652169</v>
      </c>
      <c r="K3" s="5"/>
      <c r="L3" s="5"/>
    </row>
    <row r="4" spans="1:12" ht="34.5" x14ac:dyDescent="0.35">
      <c r="A4" s="2" t="s">
        <v>201</v>
      </c>
      <c r="B4" t="s">
        <v>205</v>
      </c>
      <c r="C4" s="5" t="s">
        <v>225</v>
      </c>
      <c r="D4" s="5" t="s">
        <v>215</v>
      </c>
      <c r="E4" s="5">
        <v>99</v>
      </c>
      <c r="F4" s="5">
        <v>259</v>
      </c>
      <c r="G4" s="8">
        <v>2862</v>
      </c>
      <c r="H4" s="5">
        <f t="shared" si="0"/>
        <v>3220</v>
      </c>
      <c r="I4" s="5">
        <f t="shared" si="1"/>
        <v>3.0745341614906834</v>
      </c>
      <c r="J4" s="5">
        <f t="shared" si="2"/>
        <v>8.0434782608695645</v>
      </c>
      <c r="K4" s="5"/>
      <c r="L4" s="5"/>
    </row>
    <row r="5" spans="1:12" ht="34.5" x14ac:dyDescent="0.35">
      <c r="A5" s="2" t="s">
        <v>201</v>
      </c>
      <c r="B5" t="s">
        <v>206</v>
      </c>
      <c r="C5" s="7" t="s">
        <v>220</v>
      </c>
      <c r="D5" s="5" t="s">
        <v>216</v>
      </c>
      <c r="E5" s="5">
        <v>80</v>
      </c>
      <c r="F5" s="5">
        <v>274</v>
      </c>
      <c r="G5" s="8">
        <v>2861</v>
      </c>
      <c r="H5" s="5">
        <f t="shared" si="0"/>
        <v>3215</v>
      </c>
      <c r="I5" s="5">
        <f t="shared" si="1"/>
        <v>2.4883359253499222</v>
      </c>
      <c r="J5" s="5">
        <f t="shared" si="2"/>
        <v>8.522550544323483</v>
      </c>
      <c r="K5" s="5"/>
      <c r="L5" s="5"/>
    </row>
    <row r="6" spans="1:12" ht="34.5" x14ac:dyDescent="0.35">
      <c r="A6" s="2" t="s">
        <v>201</v>
      </c>
      <c r="B6" t="s">
        <v>207</v>
      </c>
      <c r="C6" s="7" t="s">
        <v>224</v>
      </c>
      <c r="D6" s="5" t="s">
        <v>212</v>
      </c>
      <c r="E6" s="5">
        <v>60</v>
      </c>
      <c r="F6" s="5">
        <v>264</v>
      </c>
      <c r="G6" s="8">
        <v>2894</v>
      </c>
      <c r="H6" s="5">
        <f t="shared" si="0"/>
        <v>3218</v>
      </c>
      <c r="I6" s="5">
        <f t="shared" si="1"/>
        <v>1.8645121193287757</v>
      </c>
      <c r="J6" s="5">
        <f t="shared" si="2"/>
        <v>8.2038533250466124</v>
      </c>
      <c r="K6" s="5"/>
      <c r="L6" s="5"/>
    </row>
    <row r="7" spans="1:12" ht="34.5" x14ac:dyDescent="0.35">
      <c r="A7" s="2" t="s">
        <v>201</v>
      </c>
      <c r="B7" t="s">
        <v>208</v>
      </c>
      <c r="C7" s="7" t="s">
        <v>222</v>
      </c>
      <c r="D7" s="5" t="s">
        <v>211</v>
      </c>
      <c r="E7" s="5">
        <v>72</v>
      </c>
      <c r="F7" s="5">
        <v>254</v>
      </c>
      <c r="G7" s="8">
        <v>2891</v>
      </c>
      <c r="H7" s="5">
        <f t="shared" si="0"/>
        <v>3217</v>
      </c>
      <c r="I7" s="5">
        <f t="shared" si="1"/>
        <v>2.2381100404103202</v>
      </c>
      <c r="J7" s="5">
        <f t="shared" si="2"/>
        <v>7.895554864780852</v>
      </c>
      <c r="K7" s="5"/>
      <c r="L7" s="5"/>
    </row>
    <row r="8" spans="1:12" ht="34.5" x14ac:dyDescent="0.35">
      <c r="A8" s="2" t="s">
        <v>201</v>
      </c>
      <c r="B8" t="s">
        <v>209</v>
      </c>
      <c r="C8" s="7" t="s">
        <v>221</v>
      </c>
      <c r="D8" s="5" t="s">
        <v>210</v>
      </c>
      <c r="E8" s="5">
        <v>48</v>
      </c>
      <c r="F8" s="5">
        <v>419</v>
      </c>
      <c r="G8" s="8">
        <v>2751</v>
      </c>
      <c r="H8" s="5">
        <f t="shared" si="0"/>
        <v>3218</v>
      </c>
      <c r="I8" s="5">
        <f t="shared" si="1"/>
        <v>1.4916096954630205</v>
      </c>
      <c r="J8" s="5">
        <f t="shared" si="2"/>
        <v>13.020509633312615</v>
      </c>
      <c r="K8" s="5"/>
      <c r="L8" s="5"/>
    </row>
    <row r="9" spans="1:12" x14ac:dyDescent="0.35">
      <c r="C9" s="4"/>
    </row>
    <row r="10" spans="1:12" ht="23" x14ac:dyDescent="0.35">
      <c r="A10" s="2" t="s">
        <v>287</v>
      </c>
      <c r="C10" s="27" t="s">
        <v>288</v>
      </c>
      <c r="D10" t="s">
        <v>289</v>
      </c>
    </row>
    <row r="11" spans="1:12" ht="23" x14ac:dyDescent="0.35">
      <c r="A11" s="2" t="s">
        <v>287</v>
      </c>
      <c r="C11" s="27" t="s">
        <v>291</v>
      </c>
      <c r="D11" t="s">
        <v>290</v>
      </c>
    </row>
    <row r="13" spans="1:12" ht="40" x14ac:dyDescent="0.35">
      <c r="A13" s="2" t="s">
        <v>201</v>
      </c>
      <c r="B13" s="28" t="s">
        <v>292</v>
      </c>
      <c r="C13" s="27" t="s">
        <v>293</v>
      </c>
      <c r="D13" t="s">
        <v>294</v>
      </c>
    </row>
    <row r="14" spans="1:12" x14ac:dyDescent="0.35">
      <c r="C14" s="27" t="s">
        <v>295</v>
      </c>
      <c r="D14" t="s">
        <v>296</v>
      </c>
    </row>
    <row r="15" spans="1:12" x14ac:dyDescent="0.35">
      <c r="C15" s="27" t="s">
        <v>297</v>
      </c>
      <c r="D15" t="s">
        <v>298</v>
      </c>
    </row>
    <row r="16" spans="1:12" x14ac:dyDescent="0.35">
      <c r="C16" s="27" t="s">
        <v>299</v>
      </c>
      <c r="D16" t="s">
        <v>300</v>
      </c>
    </row>
    <row r="17" spans="3:4" x14ac:dyDescent="0.35">
      <c r="C17" s="27" t="s">
        <v>301</v>
      </c>
      <c r="D17" t="s">
        <v>302</v>
      </c>
    </row>
    <row r="18" spans="3:4" x14ac:dyDescent="0.35">
      <c r="C18" s="27" t="s">
        <v>303</v>
      </c>
      <c r="D18" t="s">
        <v>304</v>
      </c>
    </row>
    <row r="19" spans="3:4" x14ac:dyDescent="0.35">
      <c r="C19" s="27" t="s">
        <v>305</v>
      </c>
      <c r="D19" t="s">
        <v>306</v>
      </c>
    </row>
    <row r="20" spans="3:4" x14ac:dyDescent="0.35">
      <c r="C20" s="27" t="s">
        <v>307</v>
      </c>
      <c r="D20" t="s">
        <v>308</v>
      </c>
    </row>
    <row r="21" spans="3:4" x14ac:dyDescent="0.35">
      <c r="C21" s="27" t="s">
        <v>309</v>
      </c>
      <c r="D21" t="s">
        <v>310</v>
      </c>
    </row>
    <row r="22" spans="3:4" x14ac:dyDescent="0.35">
      <c r="C22" s="27" t="s">
        <v>311</v>
      </c>
      <c r="D22" t="s">
        <v>312</v>
      </c>
    </row>
    <row r="23" spans="3:4" x14ac:dyDescent="0.35">
      <c r="C23" s="27" t="s">
        <v>313</v>
      </c>
      <c r="D23" t="s">
        <v>318</v>
      </c>
    </row>
    <row r="24" spans="3:4" x14ac:dyDescent="0.35">
      <c r="C24" s="27" t="s">
        <v>314</v>
      </c>
      <c r="D24" t="s">
        <v>315</v>
      </c>
    </row>
    <row r="25" spans="3:4" x14ac:dyDescent="0.35">
      <c r="C25" s="27" t="s">
        <v>316</v>
      </c>
      <c r="D25" t="s">
        <v>317</v>
      </c>
    </row>
    <row r="26" spans="3:4" x14ac:dyDescent="0.35">
      <c r="C26" s="27" t="s">
        <v>320</v>
      </c>
      <c r="D26" t="s">
        <v>319</v>
      </c>
    </row>
    <row r="27" spans="3:4" x14ac:dyDescent="0.35">
      <c r="C27" s="27" t="s">
        <v>321</v>
      </c>
      <c r="D27" t="s">
        <v>322</v>
      </c>
    </row>
    <row r="28" spans="3:4" x14ac:dyDescent="0.35">
      <c r="C28" s="27" t="s">
        <v>323</v>
      </c>
      <c r="D28" t="s">
        <v>324</v>
      </c>
    </row>
    <row r="29" spans="3:4" x14ac:dyDescent="0.35">
      <c r="C29" s="27" t="s">
        <v>325</v>
      </c>
      <c r="D29" t="s">
        <v>326</v>
      </c>
    </row>
    <row r="30" spans="3:4" x14ac:dyDescent="0.35">
      <c r="C30" s="27" t="s">
        <v>327</v>
      </c>
      <c r="D30" t="s">
        <v>328</v>
      </c>
    </row>
    <row r="31" spans="3:4" x14ac:dyDescent="0.35">
      <c r="C31" s="27" t="s">
        <v>329</v>
      </c>
      <c r="D31" t="s">
        <v>330</v>
      </c>
    </row>
    <row r="32" spans="3:4" x14ac:dyDescent="0.35">
      <c r="C32" s="27" t="s">
        <v>331</v>
      </c>
      <c r="D32" t="s">
        <v>332</v>
      </c>
    </row>
  </sheetData>
  <hyperlinks>
    <hyperlink ref="A1" r:id="rId1" display="https://discovery.closer.ac.uk/Item/uk.lha/bc8b321c-4d2e-40fc-9246-dc2c3b87b4bf/19" xr:uid="{EAD26896-BA66-4E27-8DCC-E6936A81E8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ALSPAC variable catalogue</vt:lpstr>
      <vt:lpstr>TwinsUK phenotypes</vt:lpstr>
      <vt:lpstr>NSHD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2026-05-06T10:02:41Z</dcterms:created>
  <dcterms:modified xsi:type="dcterms:W3CDTF">2026-05-11T14:22:14Z</dcterms:modified>
</cp:coreProperties>
</file>